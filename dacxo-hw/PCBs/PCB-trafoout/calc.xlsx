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lad1" sheetId="1" r:id="rId1"/>
  </sheets>
  <calcPr calcId="152511"/>
</workbook>
</file>

<file path=xl/calcChain.xml><?xml version="1.0" encoding="utf-8"?>
<calcChain xmlns="http://schemas.openxmlformats.org/spreadsheetml/2006/main">
  <c r="B23" i="1" l="1"/>
  <c r="B24" i="1" s="1"/>
  <c r="B10" i="1"/>
  <c r="B7" i="1"/>
  <c r="B8" i="1" s="1"/>
  <c r="B13" i="1"/>
  <c r="B14" i="1" s="1"/>
  <c r="B15" i="1" s="1"/>
  <c r="B16" i="1" s="1"/>
  <c r="B17" i="1" l="1"/>
  <c r="B9" i="1"/>
  <c r="B18" i="1" s="1"/>
</calcChain>
</file>

<file path=xl/sharedStrings.xml><?xml version="1.0" encoding="utf-8"?>
<sst xmlns="http://schemas.openxmlformats.org/spreadsheetml/2006/main" count="19" uniqueCount="15">
  <si>
    <t>signal input (mA peak)</t>
  </si>
  <si>
    <t>prim load R (kohm)</t>
  </si>
  <si>
    <t>coil R (each winding)</t>
  </si>
  <si>
    <t>secun load R (kohm)</t>
  </si>
  <si>
    <t>output V (eff)</t>
  </si>
  <si>
    <t>output V (peak)</t>
  </si>
  <si>
    <t>eff. Load</t>
  </si>
  <si>
    <t>eff. Secun Load R</t>
  </si>
  <si>
    <t>attenuation (dB)</t>
  </si>
  <si>
    <t>output resistance</t>
  </si>
  <si>
    <t>switch load R (across)</t>
  </si>
  <si>
    <t>powersupply-series-R</t>
  </si>
  <si>
    <t>voedings-C</t>
  </si>
  <si>
    <t>filt-freq</t>
  </si>
  <si>
    <t>100Hz supression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</si>
</sst>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abSelected="1" workbookViewId="0">
      <selection activeCell="B13" sqref="B13"/>
    </sheetView>
  </sheetViews>
  <sheetFormatPr defaultRowHeight="15" x14ac:dyDescent="0.25"/>
  <cols>
    <col min="1" max="1" width="24.140625" customWidth="1"/>
    <col min="2" max="2" width="9.140625" style="1"/>
  </cols>
  <sheetData>
    <row r="3" spans="1:2" x14ac:dyDescent="0.25">
      <c r="A3" t="s">
        <v>0</v>
      </c>
      <c r="B3" s="1">
        <v>7.8</v>
      </c>
    </row>
    <row r="4" spans="1:2" x14ac:dyDescent="0.25">
      <c r="A4" t="s">
        <v>1</v>
      </c>
      <c r="B4" s="1">
        <v>1</v>
      </c>
    </row>
    <row r="5" spans="1:2" x14ac:dyDescent="0.25">
      <c r="A5" t="s">
        <v>2</v>
      </c>
      <c r="B5" s="1">
        <v>4.7E-2</v>
      </c>
    </row>
    <row r="6" spans="1:2" x14ac:dyDescent="0.25">
      <c r="A6" t="s">
        <v>3</v>
      </c>
      <c r="B6" s="1">
        <v>0.5</v>
      </c>
    </row>
    <row r="7" spans="1:2" x14ac:dyDescent="0.25">
      <c r="A7" t="s">
        <v>6</v>
      </c>
      <c r="B7" s="1">
        <f>B$4*(B6+2*B$5)/(B$4+B6+2*B$5)</f>
        <v>0.37264742785445415</v>
      </c>
    </row>
    <row r="8" spans="1:2" x14ac:dyDescent="0.25">
      <c r="A8" t="s">
        <v>5</v>
      </c>
      <c r="B8" s="1">
        <f>B$3*B7*B6/(B6+2*B$5)</f>
        <v>2.4466750313676284</v>
      </c>
    </row>
    <row r="9" spans="1:2" x14ac:dyDescent="0.25">
      <c r="A9" t="s">
        <v>4</v>
      </c>
      <c r="B9" s="1">
        <f>B8/SQRT(2)</f>
        <v>1.7300605060398588</v>
      </c>
    </row>
    <row r="10" spans="1:2" x14ac:dyDescent="0.25">
      <c r="A10" t="s">
        <v>9</v>
      </c>
      <c r="B10" s="1">
        <f>B6*(B$4+2*B$5)/(B6+B$4+2*B$5)</f>
        <v>0.34316185696361357</v>
      </c>
    </row>
    <row r="12" spans="1:2" x14ac:dyDescent="0.25">
      <c r="A12" t="s">
        <v>10</v>
      </c>
      <c r="B12" s="1">
        <v>7.4999999999999997E-2</v>
      </c>
    </row>
    <row r="13" spans="1:2" x14ac:dyDescent="0.25">
      <c r="A13" t="s">
        <v>7</v>
      </c>
      <c r="B13" s="1">
        <f>B6*B12/2/(B6+B12/2)</f>
        <v>3.4883720930232558E-2</v>
      </c>
    </row>
    <row r="14" spans="1:2" x14ac:dyDescent="0.25">
      <c r="A14" t="s">
        <v>6</v>
      </c>
      <c r="B14" s="1">
        <f>B$4*(B13+2*B$5)/(B$4+B13+2*B$5)</f>
        <v>0.11416917308722342</v>
      </c>
    </row>
    <row r="15" spans="1:2" x14ac:dyDescent="0.25">
      <c r="A15" t="s">
        <v>5</v>
      </c>
      <c r="B15" s="1">
        <f>B$3*B14*B13/(B13+2*B$5)</f>
        <v>0.24102838778789495</v>
      </c>
    </row>
    <row r="16" spans="1:2" x14ac:dyDescent="0.25">
      <c r="A16" t="s">
        <v>4</v>
      </c>
      <c r="B16" s="1">
        <f>B15/SQRT(2)</f>
        <v>0.17043280746328135</v>
      </c>
    </row>
    <row r="17" spans="1:2" x14ac:dyDescent="0.25">
      <c r="A17" t="s">
        <v>9</v>
      </c>
      <c r="B17" s="1">
        <f>B13*(B$4+2*B$5)/(B13+B$4+2*B$5)</f>
        <v>3.3805776441020147E-2</v>
      </c>
    </row>
    <row r="18" spans="1:2" x14ac:dyDescent="0.25">
      <c r="A18" t="s">
        <v>8</v>
      </c>
      <c r="B18" s="1">
        <f>20*LOG(B16/B9,10)</f>
        <v>-20.130161882802806</v>
      </c>
    </row>
    <row r="21" spans="1:2" x14ac:dyDescent="0.25">
      <c r="A21" t="s">
        <v>11</v>
      </c>
      <c r="B21" s="1">
        <v>33</v>
      </c>
    </row>
    <row r="22" spans="1:2" x14ac:dyDescent="0.25">
      <c r="A22" t="s">
        <v>12</v>
      </c>
      <c r="B22" s="1">
        <v>4.7000000000000002E-3</v>
      </c>
    </row>
    <row r="23" spans="1:2" x14ac:dyDescent="0.25">
      <c r="A23" t="s">
        <v>13</v>
      </c>
      <c r="B23" s="1">
        <f>1/(6.28*B21*B22)</f>
        <v>1.0266645312044416</v>
      </c>
    </row>
    <row r="24" spans="1:2" x14ac:dyDescent="0.25">
      <c r="A24" t="s">
        <v>14</v>
      </c>
      <c r="B24" s="1">
        <f>20*LOG(B23/100,10)</f>
        <v>-39.771428831016017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2015-09-13T22:43:39Z</dcterms:modified>
</cp:coreProperties>
</file>